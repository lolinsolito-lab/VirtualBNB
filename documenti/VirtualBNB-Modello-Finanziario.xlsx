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nzioni" sheetId="1" state="visible" r:id="rId3"/>
    <sheet name="Costi Fissi Azienda" sheetId="2" state="visible" r:id="rId4"/>
    <sheet name="P&amp;L per Tier" sheetId="3" state="visible" r:id="rId5"/>
    <sheet name="Breakeven" sheetId="4" state="visible" r:id="rId6"/>
    <sheet name="Proiezione 12 Mes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<sst xmlns="http://schemas.openxmlformats.org/spreadsheetml/2006/main" count="117" uniqueCount="90">
  <si>
    <t xml:space="preserve">VirtualBNB — Assunzioni del Modello</t>
  </si>
  <si>
    <t xml:space="preserve">Celle in BLU = da modificare con i tuoi numeri reali. Celle GIALLE = assunzioni-chiave da verificare per prime.</t>
  </si>
  <si>
    <t xml:space="preserve">Commissioni per tier</t>
  </si>
  <si>
    <t xml:space="preserve">Tier</t>
  </si>
  <si>
    <t xml:space="preserve">Valore</t>
  </si>
  <si>
    <t xml:space="preserve">Fonte</t>
  </si>
  <si>
    <t xml:space="preserve">Essenziale (% sul revenue netto)</t>
  </si>
  <si>
    <t xml:space="preserve">Prezzi.jsx — certo</t>
  </si>
  <si>
    <t xml:space="preserve">Smart (% sul revenue netto)</t>
  </si>
  <si>
    <t xml:space="preserve">Premium (fisso €/mese)</t>
  </si>
  <si>
    <t xml:space="preserve">Setup una tantum</t>
  </si>
  <si>
    <t xml:space="preserve">Essenziale</t>
  </si>
  <si>
    <t xml:space="preserve">Smart</t>
  </si>
  <si>
    <t xml:space="preserve">Premium</t>
  </si>
  <si>
    <t xml:space="preserve">Break-even Smart → Premium (revenue mensile a cui i due modelli si equivalgono)</t>
  </si>
  <si>
    <t xml:space="preserve">Costi variabili stimati per immobile (mensili)</t>
  </si>
  <si>
    <t xml:space="preserve">Voce</t>
  </si>
  <si>
    <t xml:space="preserve">Nota</t>
  </si>
  <si>
    <t xml:space="preserve">AI WhatsApp / Anthropic API</t>
  </si>
  <si>
    <t xml:space="preserve">Calcolato in sessione precedente — costo reale basso e stabile</t>
  </si>
  <si>
    <t xml:space="preserve">PriceLabs / Wheelhouse (quota per immobile)</t>
  </si>
  <si>
    <t xml:space="preserve">STIMA — verifica col tuo piano reale</t>
  </si>
  <si>
    <t xml:space="preserve">Manutenzione, cap massimo (solo Smart)</t>
  </si>
  <si>
    <t xml:space="preserve">Prezzi.jsx — certo (è il tetto dichiarato)</t>
  </si>
  <si>
    <t xml:space="preserve">% di utilizzo reale del cap manutenzione</t>
  </si>
  <si>
    <t xml:space="preserve">STIMA — nessun dato storico ancora, aggiorna dopo i primi mesi reali</t>
  </si>
  <si>
    <t xml:space="preserve">Struttura legale assunta</t>
  </si>
  <si>
    <t xml:space="preserve">Mandato SENZA rappresentanza (tu incassi, poi giri il netto al proprietario)</t>
  </si>
  <si>
    <t xml:space="preserve">Da confermare con il commercialista — cambia obblighi di ritenuta d'acconto. Vedi nota nel contratto.</t>
  </si>
  <si>
    <t xml:space="preserve">Reddito minimo mensile desiderato (per il breakeven)</t>
  </si>
  <si>
    <t xml:space="preserve">Il tuo obiettivo di reddito netto mensile dal business</t>
  </si>
  <si>
    <t xml:space="preserve">SOSTITUISCI col numero vero — decide quante proprietà ti servono davvero</t>
  </si>
  <si>
    <t xml:space="preserve">Costi Fissi Mensili — indipendenti dal numero di immobili</t>
  </si>
  <si>
    <t xml:space="preserve">Questi costi esistono anche con zero clienti — sono il tuo punto di partenza per il breakeven.</t>
  </si>
  <si>
    <t xml:space="preserve">€/mese</t>
  </si>
  <si>
    <t xml:space="preserve">Vercel (hosting)</t>
  </si>
  <si>
    <t xml:space="preserve">Free tier a basso traffico, poi Pro</t>
  </si>
  <si>
    <t xml:space="preserve">Supabase (database + auth)</t>
  </si>
  <si>
    <t xml:space="preserve">Free tier iniziale, poi Pro</t>
  </si>
  <si>
    <t xml:space="preserve">Upstash Redis (rate limiting)</t>
  </si>
  <si>
    <t xml:space="preserve">Pay-as-you-go, stima a basso volume</t>
  </si>
  <si>
    <t xml:space="preserve">Calendly</t>
  </si>
  <si>
    <t xml:space="preserve">Piano Essentials</t>
  </si>
  <si>
    <t xml:space="preserve">Dominio + email professionale</t>
  </si>
  <si>
    <t xml:space="preserve">Costo annuo ammortizzato al mese</t>
  </si>
  <si>
    <t xml:space="preserve">PEC</t>
  </si>
  <si>
    <t xml:space="preserve">Commercialista</t>
  </si>
  <si>
    <t xml:space="preserve">STIMA — verifica col tuo preventivo reale</t>
  </si>
  <si>
    <t xml:space="preserve">Assicurazione RC professionale</t>
  </si>
  <si>
    <t xml:space="preserve">STIMA — verifica polizza reale, valutane la necessità</t>
  </si>
  <si>
    <t xml:space="preserve">TOTALE COSTI FISSI MENSILI</t>
  </si>
  <si>
    <t xml:space="preserve">P&amp;L per Tier — 3 Esempi (stesso motore di stima del form)</t>
  </si>
  <si>
    <t xml:space="preserve">Esempio 1 — Monolocale, Bicocca</t>
  </si>
  <si>
    <t xml:space="preserve">Revenue lordo (owner)</t>
  </si>
  <si>
    <t xml:space="preserve">Commissione / fee VirtualBNB</t>
  </si>
  <si>
    <t xml:space="preserve">Net owner (dopo commissione)</t>
  </si>
  <si>
    <t xml:space="preserve">Costi VirtualBNB — tool (AI + PriceLabs)</t>
  </si>
  <si>
    <t xml:space="preserve">Costi manutenzione (solo Smart)</t>
  </si>
  <si>
    <t xml:space="preserve">Margine netto VirtualBNB (esclude il tuo tempo)</t>
  </si>
  <si>
    <t xml:space="preserve">Esempio 2 — Bilocale, Navigli</t>
  </si>
  <si>
    <t xml:space="preserve">Esempio 3 — Trilocale, Centro Storico</t>
  </si>
  <si>
    <t xml:space="preserve">Nota: Premium calcolato ovunque per coerenza formule, ma su Esempio 1 (revenue troppo basso) non è economicamente sensato per il proprietario — vedi documento Word di dettaglio.</t>
  </si>
  <si>
    <t xml:space="preserve">Breakeven — quanti immobili ti servono</t>
  </si>
  <si>
    <t xml:space="preserve">Costi fissi mensili azienda</t>
  </si>
  <si>
    <t xml:space="preserve">Reddito minimo mensile desiderato</t>
  </si>
  <si>
    <t xml:space="preserve">Totale da coprire ogni mese</t>
  </si>
  <si>
    <t xml:space="preserve">Margine medio per immobile (riferimento: Smart, Esempio 2 — Navigli)</t>
  </si>
  <si>
    <t xml:space="preserve">Cambia il riferimento se il tuo mix reale di immobili è diverso</t>
  </si>
  <si>
    <t xml:space="preserve">NUMERO DI IMMOBILI NECESSARI (arrotondato per eccesso)</t>
  </si>
  <si>
    <t xml:space="preserve">Proiezione 12 Mesi — scenario di crescita</t>
  </si>
  <si>
    <t xml:space="preserve">Mese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</si>
  <si>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</si>
  <si>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</si>
  <si>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</si>
  <si>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</si>
  <si>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</si>
  <si>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</si>
  <si>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</si>
  <si>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</si>
  <si>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</si>
  <si>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</si>
  <si>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</si>
  <si>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</si>
  <si>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Nuovi immobili aggiunti nel mese</t>
  </si>
  <si>
    <t xml:space="preserve">Immobili totali cumulati</t>
  </si>
  <si>
    <t xml:space="preserve">Margine stimato (immobili × margine medio/immobile)</t>
  </si>
  <si>
    <t xml:space="preserve">Costi fissi azienda</t>
  </si>
  <si>
    <t xml:space="preserve">Margine netto mensile</t>
  </si>
  <si>
    <t xml:space="preserve">Margine cumulato</t>
  </si>
  <si>
    <t xml:space="preserve">Nota: assume 1 immobile nuovo al mese (modifica la riga gialla) e mix Smart-tipico come margine medio. Scenario di partenza, non una previsione garantita.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</si>
</sst>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&quot; €&quot;"/>
    <numFmt numFmtId="167" formatCode="#,##0.00&quot; €&quot;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8963E"/>
      <name val="Cambria"/>
      <family val="0"/>
      <charset val="1"/>
    </font>
    <font>
      <i val="true"/>
      <sz val="9"/>
      <color rgb="FF5A6270"/>
      <name val="Cambria"/>
      <family val="0"/>
      <charset val="1"/>
    </font>
    <font>
      <b val="true"/>
      <sz val="11"/>
      <color rgb="FF1A1D2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8A4B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D2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0"/>
      <rgbColor rgb="FFB8963E"/>
      <rgbColor rgb="FF003366"/>
      <rgbColor rgb="FF339966"/>
      <rgbColor rgb="FF003300"/>
      <rgbColor rgb="FF333300"/>
      <rgbColor rgb="FF8A4B12"/>
      <rgbColor rgb="FF993366"/>
      <rgbColor rgb="FF333399"/>
      <rgbColor rgb="FF1A1D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v>0.25</v>
      </c>
      <c r="D6" s="6" t="s">
        <v>7</v>
      </c>
    </row>
    <row r="7" customFormat="false" ht="15" hidden="false" customHeight="false" outlineLevel="0" collapsed="false">
      <c r="A7" s="6" t="s">
        <v>8</v>
      </c>
      <c r="B7" s="7" t="n">
        <v>0.28</v>
      </c>
      <c r="D7" s="6" t="s">
        <v>7</v>
      </c>
    </row>
    <row r="8" customFormat="false" ht="15" hidden="false" customHeight="false" outlineLevel="0" collapsed="false">
      <c r="A8" s="6" t="s">
        <v>9</v>
      </c>
      <c r="B8" s="8" t="n">
        <v>650</v>
      </c>
      <c r="D8" s="6" t="s">
        <v>7</v>
      </c>
    </row>
    <row r="10" customFormat="false" ht="15" hidden="false" customHeight="false" outlineLevel="0" collapsed="false">
      <c r="A10" s="9" t="s">
        <v>10</v>
      </c>
    </row>
    <row r="11" customFormat="false" ht="15" hidden="false" customHeight="false" outlineLevel="0" collapsed="false">
      <c r="A11" s="6" t="s">
        <v>11</v>
      </c>
      <c r="B11" s="8" t="n">
        <v>350</v>
      </c>
    </row>
    <row r="12" customFormat="false" ht="15" hidden="false" customHeight="false" outlineLevel="0" collapsed="false">
      <c r="A12" s="6" t="s">
        <v>12</v>
      </c>
      <c r="B12" s="8" t="n">
        <v>450</v>
      </c>
    </row>
    <row r="13" customFormat="false" ht="15" hidden="false" customHeight="false" outlineLevel="0" collapsed="false">
      <c r="A13" s="6" t="s">
        <v>13</v>
      </c>
      <c r="B13" s="8" t="n">
        <v>0</v>
      </c>
    </row>
    <row r="15" customFormat="false" ht="15" hidden="false" customHeight="false" outlineLevel="0" collapsed="false">
      <c r="A15" s="6" t="s">
        <v>14</v>
      </c>
      <c r="B15" s="10" t="n">
        <f aca="false">B8/B7</f>
        <v>2321.42857142857</v>
      </c>
    </row>
    <row r="17" customFormat="false" ht="15" hidden="false" customHeight="false" outlineLevel="0" collapsed="false">
      <c r="A17" s="9" t="s">
        <v>15</v>
      </c>
    </row>
    <row r="18" customFormat="false" ht="15" hidden="false" customHeight="false" outlineLevel="0" collapsed="false">
      <c r="A18" s="4" t="s">
        <v>16</v>
      </c>
      <c r="B18" s="5" t="s">
        <v>4</v>
      </c>
      <c r="C18" s="5"/>
      <c r="D18" s="5" t="s">
        <v>17</v>
      </c>
    </row>
    <row r="19" customFormat="false" ht="15" hidden="false" customHeight="false" outlineLevel="0" collapsed="false">
      <c r="A19" s="6" t="s">
        <v>18</v>
      </c>
      <c r="B19" s="11" t="n">
        <v>2</v>
      </c>
      <c r="D19" s="6" t="s">
        <v>19</v>
      </c>
    </row>
    <row r="20" customFormat="false" ht="15" hidden="false" customHeight="false" outlineLevel="0" collapsed="false">
      <c r="A20" s="6" t="s">
        <v>20</v>
      </c>
      <c r="B20" s="12" t="n">
        <v>22</v>
      </c>
      <c r="D20" s="6" t="s">
        <v>21</v>
      </c>
    </row>
    <row r="21" customFormat="false" ht="15" hidden="false" customHeight="false" outlineLevel="0" collapsed="false">
      <c r="A21" s="6" t="s">
        <v>22</v>
      </c>
      <c r="B21" s="11" t="n">
        <v>100</v>
      </c>
      <c r="D21" s="6" t="s">
        <v>23</v>
      </c>
    </row>
    <row r="22" customFormat="false" ht="15" hidden="false" customHeight="false" outlineLevel="0" collapsed="false">
      <c r="A22" s="6" t="s">
        <v>24</v>
      </c>
      <c r="B22" s="13" t="n">
        <v>0.5</v>
      </c>
      <c r="D22" s="6" t="s">
        <v>25</v>
      </c>
    </row>
    <row r="24" customFormat="false" ht="15" hidden="false" customHeight="false" outlineLevel="0" collapsed="false">
      <c r="A24" s="9" t="s">
        <v>26</v>
      </c>
    </row>
    <row r="25" customFormat="false" ht="15" hidden="false" customHeight="false" outlineLevel="0" collapsed="false">
      <c r="A25" s="14" t="s">
        <v>27</v>
      </c>
    </row>
    <row r="26" customFormat="false" ht="15" hidden="false" customHeight="false" outlineLevel="0" collapsed="false">
      <c r="A26" s="15" t="s">
        <v>28</v>
      </c>
    </row>
    <row r="28" customFormat="false" ht="15" hidden="false" customHeight="false" outlineLevel="0" collapsed="false">
      <c r="A28" s="9" t="s">
        <v>29</v>
      </c>
    </row>
    <row r="29" customFormat="false" ht="15" hidden="false" customHeight="false" outlineLevel="0" collapsed="false">
      <c r="A29" s="6" t="s">
        <v>30</v>
      </c>
      <c r="B29" s="16" t="n">
        <v>2000</v>
      </c>
      <c r="D29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4" t="s">
        <v>16</v>
      </c>
      <c r="B4" s="5" t="s">
        <v>34</v>
      </c>
      <c r="C4" s="5" t="s">
        <v>17</v>
      </c>
    </row>
    <row r="5" customFormat="false" ht="15" hidden="false" customHeight="false" outlineLevel="0" collapsed="false">
      <c r="A5" s="6" t="s">
        <v>35</v>
      </c>
      <c r="B5" s="11" t="n">
        <v>20</v>
      </c>
      <c r="C5" s="17" t="s">
        <v>36</v>
      </c>
    </row>
    <row r="6" customFormat="false" ht="15" hidden="false" customHeight="false" outlineLevel="0" collapsed="false">
      <c r="A6" s="6" t="s">
        <v>37</v>
      </c>
      <c r="B6" s="11" t="n">
        <v>25</v>
      </c>
      <c r="C6" s="17" t="s">
        <v>38</v>
      </c>
    </row>
    <row r="7" customFormat="false" ht="15" hidden="false" customHeight="false" outlineLevel="0" collapsed="false">
      <c r="A7" s="6" t="s">
        <v>39</v>
      </c>
      <c r="B7" s="11" t="n">
        <v>10</v>
      </c>
      <c r="C7" s="17" t="s">
        <v>40</v>
      </c>
    </row>
    <row r="8" customFormat="false" ht="15" hidden="false" customHeight="false" outlineLevel="0" collapsed="false">
      <c r="A8" s="6" t="s">
        <v>41</v>
      </c>
      <c r="B8" s="11" t="n">
        <v>10</v>
      </c>
      <c r="C8" s="17" t="s">
        <v>42</v>
      </c>
    </row>
    <row r="9" customFormat="false" ht="15" hidden="false" customHeight="false" outlineLevel="0" collapsed="false">
      <c r="A9" s="6" t="s">
        <v>43</v>
      </c>
      <c r="B9" s="11" t="n">
        <v>5</v>
      </c>
      <c r="C9" s="17" t="s">
        <v>44</v>
      </c>
    </row>
    <row r="10" customFormat="false" ht="15" hidden="false" customHeight="false" outlineLevel="0" collapsed="false">
      <c r="A10" s="6" t="s">
        <v>45</v>
      </c>
      <c r="B10" s="11" t="n">
        <v>1</v>
      </c>
      <c r="C10" s="17" t="s">
        <v>44</v>
      </c>
    </row>
    <row r="11" customFormat="false" ht="15" hidden="false" customHeight="false" outlineLevel="0" collapsed="false">
      <c r="A11" s="6" t="s">
        <v>46</v>
      </c>
      <c r="B11" s="12" t="n">
        <v>100</v>
      </c>
      <c r="C11" s="17" t="s">
        <v>47</v>
      </c>
    </row>
    <row r="12" customFormat="false" ht="15" hidden="false" customHeight="false" outlineLevel="0" collapsed="false">
      <c r="A12" s="6" t="s">
        <v>48</v>
      </c>
      <c r="B12" s="12" t="n">
        <v>40</v>
      </c>
      <c r="C12" s="17" t="s">
        <v>49</v>
      </c>
    </row>
    <row r="14" customFormat="false" ht="15" hidden="false" customHeight="false" outlineLevel="0" collapsed="false">
      <c r="A14" s="18" t="s">
        <v>50</v>
      </c>
      <c r="B14" s="19" t="n">
        <f aca="false">SUM(B5:B13)</f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20" t="s">
        <v>51</v>
      </c>
      <c r="B1" s="20"/>
      <c r="C1" s="20"/>
      <c r="D1" s="20"/>
    </row>
    <row r="3" customFormat="false" ht="15" hidden="false" customHeight="false" outlineLevel="0" collapsed="false">
      <c r="A3" s="3" t="s">
        <v>52</v>
      </c>
    </row>
    <row r="4" customFormat="false" ht="15" hidden="false" customHeight="false" outlineLevel="0" collapsed="false">
      <c r="A4" s="4"/>
      <c r="B4" s="5" t="s">
        <v>11</v>
      </c>
      <c r="C4" s="5" t="s">
        <v>12</v>
      </c>
      <c r="D4" s="5" t="s">
        <v>13</v>
      </c>
    </row>
    <row r="5" customFormat="false" ht="15" hidden="false" customHeight="false" outlineLevel="0" collapsed="false">
      <c r="A5" s="6" t="s">
        <v>53</v>
      </c>
      <c r="B5" s="11" t="n">
        <v>850</v>
      </c>
      <c r="C5" s="11" t="n">
        <v>850</v>
      </c>
      <c r="D5" s="11" t="n">
        <v>850</v>
      </c>
    </row>
    <row r="6" customFormat="false" ht="15" hidden="false" customHeight="false" outlineLevel="0" collapsed="false">
      <c r="A6" s="6" t="s">
        <v>54</v>
      </c>
      <c r="B6" s="21" t="n">
        <f aca="false">B5*Assunzioni!$B$6</f>
        <v>212.5</v>
      </c>
      <c r="C6" s="21" t="n">
        <f aca="false">C5*Assunzioni!$B$7</f>
        <v>238</v>
      </c>
      <c r="D6" s="21" t="n">
        <f aca="false">Assunzioni!$B$8</f>
        <v>650</v>
      </c>
    </row>
    <row r="7" customFormat="false" ht="15" hidden="false" customHeight="false" outlineLevel="0" collapsed="false">
      <c r="A7" s="22" t="s">
        <v>55</v>
      </c>
      <c r="B7" s="19" t="n">
        <f aca="false">B5-B6</f>
        <v>637.5</v>
      </c>
      <c r="C7" s="19" t="n">
        <f aca="false">C5-C6</f>
        <v>612</v>
      </c>
      <c r="D7" s="19" t="n">
        <f aca="false">D5-D6</f>
        <v>200</v>
      </c>
    </row>
    <row r="8" customFormat="false" ht="15" hidden="false" customHeight="false" outlineLevel="0" collapsed="false">
      <c r="A8" s="6" t="s">
        <v>56</v>
      </c>
      <c r="B8" s="21" t="n">
        <f aca="false">Assunzioni!$B$19+Assunzioni!$B$20</f>
        <v>24</v>
      </c>
      <c r="C8" s="21" t="n">
        <f aca="false">Assunzioni!$B$19+Assunzioni!$B$20</f>
        <v>24</v>
      </c>
      <c r="D8" s="21" t="n">
        <f aca="false">Assunzioni!$B$19+Assunzioni!$B$20</f>
        <v>24</v>
      </c>
    </row>
    <row r="9" customFormat="false" ht="15" hidden="false" customHeight="false" outlineLevel="0" collapsed="false">
      <c r="A9" s="6" t="s">
        <v>57</v>
      </c>
      <c r="B9" s="23" t="n">
        <v>0</v>
      </c>
      <c r="C9" s="21" t="n">
        <f aca="false">Assunzioni!$B$21*Assunzioni!$B$22</f>
        <v>50</v>
      </c>
      <c r="D9" s="23" t="n">
        <v>0</v>
      </c>
    </row>
    <row r="10" customFormat="false" ht="15" hidden="false" customHeight="false" outlineLevel="0" collapsed="false">
      <c r="A10" s="22" t="s">
        <v>58</v>
      </c>
      <c r="B10" s="19" t="n">
        <f aca="false">B6-B8-B9</f>
        <v>188.5</v>
      </c>
      <c r="C10" s="19" t="n">
        <f aca="false">C6-C8-C9</f>
        <v>164</v>
      </c>
      <c r="D10" s="19" t="n">
        <f aca="false">D6-D8-D9</f>
        <v>626</v>
      </c>
    </row>
    <row r="13" customFormat="false" ht="15" hidden="false" customHeight="false" outlineLevel="0" collapsed="false">
      <c r="A13" s="3" t="s">
        <v>59</v>
      </c>
    </row>
    <row r="14" customFormat="false" ht="15" hidden="false" customHeight="false" outlineLevel="0" collapsed="false">
      <c r="A14" s="4"/>
      <c r="B14" s="5" t="s">
        <v>11</v>
      </c>
      <c r="C14" s="5" t="s">
        <v>12</v>
      </c>
      <c r="D14" s="5" t="s">
        <v>13</v>
      </c>
    </row>
    <row r="15" customFormat="false" ht="15" hidden="false" customHeight="false" outlineLevel="0" collapsed="false">
      <c r="A15" s="6" t="s">
        <v>53</v>
      </c>
      <c r="B15" s="11" t="n">
        <v>2120</v>
      </c>
      <c r="C15" s="11" t="n">
        <v>2120</v>
      </c>
      <c r="D15" s="11" t="n">
        <v>2120</v>
      </c>
    </row>
    <row r="16" customFormat="false" ht="15" hidden="false" customHeight="false" outlineLevel="0" collapsed="false">
      <c r="A16" s="6" t="s">
        <v>54</v>
      </c>
      <c r="B16" s="21" t="n">
        <f aca="false">B15*Assunzioni!$B$6</f>
        <v>530</v>
      </c>
      <c r="C16" s="21" t="n">
        <f aca="false">C15*Assunzioni!$B$7</f>
        <v>593.6</v>
      </c>
      <c r="D16" s="21" t="n">
        <f aca="false">Assunzioni!$B$8</f>
        <v>650</v>
      </c>
    </row>
    <row r="17" customFormat="false" ht="15" hidden="false" customHeight="false" outlineLevel="0" collapsed="false">
      <c r="A17" s="22" t="s">
        <v>55</v>
      </c>
      <c r="B17" s="19" t="n">
        <f aca="false">B15-B16</f>
        <v>1590</v>
      </c>
      <c r="C17" s="19" t="n">
        <f aca="false">C15-C16</f>
        <v>1526.4</v>
      </c>
      <c r="D17" s="19" t="n">
        <f aca="false">D15-D16</f>
        <v>1470</v>
      </c>
    </row>
    <row r="18" customFormat="false" ht="15" hidden="false" customHeight="false" outlineLevel="0" collapsed="false">
      <c r="A18" s="6" t="s">
        <v>56</v>
      </c>
      <c r="B18" s="21" t="n">
        <f aca="false">Assunzioni!$B$19+Assunzioni!$B$20</f>
        <v>24</v>
      </c>
      <c r="C18" s="21" t="n">
        <f aca="false">Assunzioni!$B$19+Assunzioni!$B$20</f>
        <v>24</v>
      </c>
      <c r="D18" s="21" t="n">
        <f aca="false">Assunzioni!$B$19+Assunzioni!$B$20</f>
        <v>24</v>
      </c>
    </row>
    <row r="19" customFormat="false" ht="15" hidden="false" customHeight="false" outlineLevel="0" collapsed="false">
      <c r="A19" s="6" t="s">
        <v>57</v>
      </c>
      <c r="B19" s="23" t="n">
        <v>0</v>
      </c>
      <c r="C19" s="21" t="n">
        <f aca="false">Assunzioni!$B$21*Assunzioni!$B$22</f>
        <v>50</v>
      </c>
      <c r="D19" s="23" t="n">
        <v>0</v>
      </c>
    </row>
    <row r="20" customFormat="false" ht="15" hidden="false" customHeight="false" outlineLevel="0" collapsed="false">
      <c r="A20" s="22" t="s">
        <v>58</v>
      </c>
      <c r="B20" s="19" t="n">
        <f aca="false">B16-B18-B19</f>
        <v>506</v>
      </c>
      <c r="C20" s="19" t="n">
        <f aca="false">C16-C18-C19</f>
        <v>519.6</v>
      </c>
      <c r="D20" s="19" t="n">
        <f aca="false">D16-D18-D19</f>
        <v>626</v>
      </c>
    </row>
    <row r="23" customFormat="false" ht="15" hidden="false" customHeight="false" outlineLevel="0" collapsed="false">
      <c r="A23" s="3" t="s">
        <v>60</v>
      </c>
    </row>
    <row r="24" customFormat="false" ht="15" hidden="false" customHeight="false" outlineLevel="0" collapsed="false">
      <c r="A24" s="4"/>
      <c r="B24" s="5" t="s">
        <v>11</v>
      </c>
      <c r="C24" s="5" t="s">
        <v>12</v>
      </c>
      <c r="D24" s="5" t="s">
        <v>13</v>
      </c>
    </row>
    <row r="25" customFormat="false" ht="15" hidden="false" customHeight="false" outlineLevel="0" collapsed="false">
      <c r="A25" s="6" t="s">
        <v>53</v>
      </c>
      <c r="B25" s="11" t="n">
        <v>3510</v>
      </c>
      <c r="C25" s="11" t="n">
        <v>3510</v>
      </c>
      <c r="D25" s="11" t="n">
        <v>3510</v>
      </c>
    </row>
    <row r="26" customFormat="false" ht="15" hidden="false" customHeight="false" outlineLevel="0" collapsed="false">
      <c r="A26" s="6" t="s">
        <v>54</v>
      </c>
      <c r="B26" s="21" t="n">
        <f aca="false">B25*Assunzioni!$B$6</f>
        <v>877.5</v>
      </c>
      <c r="C26" s="21" t="n">
        <f aca="false">C25*Assunzioni!$B$7</f>
        <v>982.8</v>
      </c>
      <c r="D26" s="21" t="n">
        <f aca="false">Assunzioni!$B$8</f>
        <v>650</v>
      </c>
    </row>
    <row r="27" customFormat="false" ht="15" hidden="false" customHeight="false" outlineLevel="0" collapsed="false">
      <c r="A27" s="22" t="s">
        <v>55</v>
      </c>
      <c r="B27" s="19" t="n">
        <f aca="false">B25-B26</f>
        <v>2632.5</v>
      </c>
      <c r="C27" s="19" t="n">
        <f aca="false">C25-C26</f>
        <v>2527.2</v>
      </c>
      <c r="D27" s="19" t="n">
        <f aca="false">D25-D26</f>
        <v>2860</v>
      </c>
    </row>
    <row r="28" customFormat="false" ht="15" hidden="false" customHeight="false" outlineLevel="0" collapsed="false">
      <c r="A28" s="6" t="s">
        <v>56</v>
      </c>
      <c r="B28" s="21" t="n">
        <f aca="false">Assunzioni!$B$19+Assunzioni!$B$20</f>
        <v>24</v>
      </c>
      <c r="C28" s="21" t="n">
        <f aca="false">Assunzioni!$B$19+Assunzioni!$B$20</f>
        <v>24</v>
      </c>
      <c r="D28" s="21" t="n">
        <f aca="false">Assunzioni!$B$19+Assunzioni!$B$20</f>
        <v>24</v>
      </c>
    </row>
    <row r="29" customFormat="false" ht="15" hidden="false" customHeight="false" outlineLevel="0" collapsed="false">
      <c r="A29" s="6" t="s">
        <v>57</v>
      </c>
      <c r="B29" s="23" t="n">
        <v>0</v>
      </c>
      <c r="C29" s="21" t="n">
        <f aca="false">Assunzioni!$B$21*Assunzioni!$B$22</f>
        <v>50</v>
      </c>
      <c r="D29" s="23" t="n">
        <v>0</v>
      </c>
    </row>
    <row r="30" customFormat="false" ht="15" hidden="false" customHeight="false" outlineLevel="0" collapsed="false">
      <c r="A30" s="22" t="s">
        <v>58</v>
      </c>
      <c r="B30" s="19" t="n">
        <f aca="false">B26-B28-B29</f>
        <v>853.5</v>
      </c>
      <c r="C30" s="19" t="n">
        <f aca="false">C26-C28-C29</f>
        <v>908.8</v>
      </c>
      <c r="D30" s="19" t="n">
        <f aca="false">D26-D28-D29</f>
        <v>626</v>
      </c>
    </row>
    <row r="33" customFormat="false" ht="15" hidden="false" customHeight="false" outlineLevel="0" collapsed="false">
      <c r="A33" s="24" t="s">
        <v>61</v>
      </c>
      <c r="B33" s="24"/>
      <c r="C33" s="24"/>
      <c r="D33" s="24"/>
    </row>
  </sheetData>
  <mergeCells count="2">
    <mergeCell ref="A1:D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6" t="s">
        <v>63</v>
      </c>
      <c r="B3" s="21" t="n">
        <f aca="false">'Costi Fissi Azienda'!B14</f>
        <v>211</v>
      </c>
    </row>
    <row r="4" customFormat="false" ht="15" hidden="false" customHeight="false" outlineLevel="0" collapsed="false">
      <c r="A4" s="6" t="s">
        <v>64</v>
      </c>
      <c r="B4" s="21" t="n">
        <f aca="false">Assunzioni!B29</f>
        <v>2000</v>
      </c>
    </row>
    <row r="5" customFormat="false" ht="15" hidden="false" customHeight="false" outlineLevel="0" collapsed="false">
      <c r="A5" s="6" t="s">
        <v>65</v>
      </c>
      <c r="B5" s="19" t="n">
        <f aca="false">B3+B4</f>
        <v>2211</v>
      </c>
    </row>
    <row r="7" customFormat="false" ht="15" hidden="false" customHeight="false" outlineLevel="0" collapsed="false">
      <c r="A7" s="6" t="s">
        <v>66</v>
      </c>
      <c r="B7" s="21" t="n">
        <f aca="false">'P&amp;L per Tier'!C20</f>
        <v>519.6</v>
      </c>
      <c r="C7" s="2" t="s">
        <v>67</v>
      </c>
    </row>
    <row r="9" customFormat="false" ht="15" hidden="false" customHeight="false" outlineLevel="0" collapsed="false">
      <c r="A9" s="22" t="s">
        <v>68</v>
      </c>
      <c r="B9" s="25" t="n">
        <f aca="false">ROUNDUP(B5/B7,0)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9"/>
  </cols>
  <sheetData>
    <row r="1" customFormat="false" ht="17.35" hidden="false" customHeight="false" outlineLevel="0" collapsed="false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customFormat="false" ht="15" hidden="false" customHeight="false" outlineLevel="0" collapsed="false">
      <c r="A3" s="4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  <c r="J3" s="5" t="s">
        <v>79</v>
      </c>
      <c r="K3" s="5" t="s">
        <v>80</v>
      </c>
      <c r="L3" s="5" t="s">
        <v>81</v>
      </c>
      <c r="M3" s="5" t="s">
        <v>82</v>
      </c>
    </row>
    <row r="4" customFormat="false" ht="15" hidden="false" customHeight="false" outlineLevel="0" collapsed="false">
      <c r="A4" s="6" t="s">
        <v>83</v>
      </c>
      <c r="B4" s="26" t="n">
        <v>1</v>
      </c>
      <c r="C4" s="26" t="n">
        <v>1</v>
      </c>
      <c r="D4" s="26" t="n">
        <v>1</v>
      </c>
      <c r="E4" s="26" t="n">
        <v>1</v>
      </c>
      <c r="F4" s="26" t="n">
        <v>1</v>
      </c>
      <c r="G4" s="26" t="n">
        <v>1</v>
      </c>
      <c r="H4" s="26" t="n">
        <v>1</v>
      </c>
      <c r="I4" s="26" t="n">
        <v>1</v>
      </c>
      <c r="J4" s="26" t="n">
        <v>1</v>
      </c>
      <c r="K4" s="26" t="n">
        <v>1</v>
      </c>
      <c r="L4" s="26" t="n">
        <v>1</v>
      </c>
      <c r="M4" s="26" t="n">
        <v>1</v>
      </c>
    </row>
    <row r="5" customFormat="false" ht="15" hidden="false" customHeight="false" outlineLevel="0" collapsed="false">
      <c r="A5" s="6" t="s">
        <v>84</v>
      </c>
      <c r="B5" s="27" t="n">
        <f aca="false">B4</f>
        <v>1</v>
      </c>
      <c r="C5" s="27" t="n">
        <f aca="false">B5+C4</f>
        <v>2</v>
      </c>
      <c r="D5" s="27" t="n">
        <f aca="false">C5+D4</f>
        <v>3</v>
      </c>
      <c r="E5" s="27" t="n">
        <f aca="false">D5+E4</f>
        <v>4</v>
      </c>
      <c r="F5" s="27" t="n">
        <f aca="false">E5+F4</f>
        <v>5</v>
      </c>
      <c r="G5" s="27" t="n">
        <f aca="false">F5+G4</f>
        <v>6</v>
      </c>
      <c r="H5" s="27" t="n">
        <f aca="false">G5+H4</f>
        <v>7</v>
      </c>
      <c r="I5" s="27" t="n">
        <f aca="false">H5+I4</f>
        <v>8</v>
      </c>
      <c r="J5" s="27" t="n">
        <f aca="false">I5+J4</f>
        <v>9</v>
      </c>
      <c r="K5" s="27" t="n">
        <f aca="false">J5+K4</f>
        <v>10</v>
      </c>
      <c r="L5" s="27" t="n">
        <f aca="false">K5+L4</f>
        <v>11</v>
      </c>
      <c r="M5" s="27" t="n">
        <f aca="false">L5+M4</f>
        <v>12</v>
      </c>
    </row>
    <row r="6" customFormat="false" ht="15" hidden="false" customHeight="false" outlineLevel="0" collapsed="false">
      <c r="A6" s="6" t="s">
        <v>85</v>
      </c>
      <c r="B6" s="28" t="n">
        <f aca="false">B5*Breakeven!$B$7</f>
        <v>519.6</v>
      </c>
      <c r="C6" s="28" t="n">
        <f aca="false">C5*Breakeven!$B$7</f>
        <v>1039.2</v>
      </c>
      <c r="D6" s="28" t="n">
        <f aca="false">D5*Breakeven!$B$7</f>
        <v>1558.8</v>
      </c>
      <c r="E6" s="28" t="n">
        <f aca="false">E5*Breakeven!$B$7</f>
        <v>2078.4</v>
      </c>
      <c r="F6" s="28" t="n">
        <f aca="false">F5*Breakeven!$B$7</f>
        <v>2598</v>
      </c>
      <c r="G6" s="28" t="n">
        <f aca="false">G5*Breakeven!$B$7</f>
        <v>3117.6</v>
      </c>
      <c r="H6" s="28" t="n">
        <f aca="false">H5*Breakeven!$B$7</f>
        <v>3637.2</v>
      </c>
      <c r="I6" s="28" t="n">
        <f aca="false">I5*Breakeven!$B$7</f>
        <v>4156.8</v>
      </c>
      <c r="J6" s="28" t="n">
        <f aca="false">J5*Breakeven!$B$7</f>
        <v>4676.4</v>
      </c>
      <c r="K6" s="28" t="n">
        <f aca="false">K5*Breakeven!$B$7</f>
        <v>5196</v>
      </c>
      <c r="L6" s="28" t="n">
        <f aca="false">L5*Breakeven!$B$7</f>
        <v>5715.6</v>
      </c>
      <c r="M6" s="28" t="n">
        <f aca="false">M5*Breakeven!$B$7</f>
        <v>6235.2</v>
      </c>
    </row>
    <row r="7" customFormat="false" ht="15" hidden="false" customHeight="false" outlineLevel="0" collapsed="false">
      <c r="A7" s="6" t="s">
        <v>86</v>
      </c>
      <c r="B7" s="28" t="n">
        <f aca="false">'Costi Fissi Azienda'!$B$14</f>
        <v>211</v>
      </c>
      <c r="C7" s="28" t="n">
        <f aca="false">'Costi Fissi Azienda'!$B$14</f>
        <v>211</v>
      </c>
      <c r="D7" s="28" t="n">
        <f aca="false">'Costi Fissi Azienda'!$B$14</f>
        <v>211</v>
      </c>
      <c r="E7" s="28" t="n">
        <f aca="false">'Costi Fissi Azienda'!$B$14</f>
        <v>211</v>
      </c>
      <c r="F7" s="28" t="n">
        <f aca="false">'Costi Fissi Azienda'!$B$14</f>
        <v>211</v>
      </c>
      <c r="G7" s="28" t="n">
        <f aca="false">'Costi Fissi Azienda'!$B$14</f>
        <v>211</v>
      </c>
      <c r="H7" s="28" t="n">
        <f aca="false">'Costi Fissi Azienda'!$B$14</f>
        <v>211</v>
      </c>
      <c r="I7" s="28" t="n">
        <f aca="false">'Costi Fissi Azienda'!$B$14</f>
        <v>211</v>
      </c>
      <c r="J7" s="28" t="n">
        <f aca="false">'Costi Fissi Azienda'!$B$14</f>
        <v>211</v>
      </c>
      <c r="K7" s="28" t="n">
        <f aca="false">'Costi Fissi Azienda'!$B$14</f>
        <v>211</v>
      </c>
      <c r="L7" s="28" t="n">
        <f aca="false">'Costi Fissi Azienda'!$B$14</f>
        <v>211</v>
      </c>
      <c r="M7" s="28" t="n">
        <f aca="false">'Costi Fissi Azienda'!$B$14</f>
        <v>211</v>
      </c>
    </row>
    <row r="8" customFormat="false" ht="15" hidden="false" customHeight="false" outlineLevel="0" collapsed="false">
      <c r="A8" s="22" t="s">
        <v>87</v>
      </c>
      <c r="B8" s="29" t="n">
        <f aca="false">B6-B7</f>
        <v>308.6</v>
      </c>
      <c r="C8" s="29" t="n">
        <f aca="false">C6-C7</f>
        <v>828.2</v>
      </c>
      <c r="D8" s="29" t="n">
        <f aca="false">D6-D7</f>
        <v>1347.8</v>
      </c>
      <c r="E8" s="29" t="n">
        <f aca="false">E6-E7</f>
        <v>1867.4</v>
      </c>
      <c r="F8" s="29" t="n">
        <f aca="false">F6-F7</f>
        <v>2387</v>
      </c>
      <c r="G8" s="29" t="n">
        <f aca="false">G6-G7</f>
        <v>2906.6</v>
      </c>
      <c r="H8" s="29" t="n">
        <f aca="false">H6-H7</f>
        <v>3426.2</v>
      </c>
      <c r="I8" s="29" t="n">
        <f aca="false">I6-I7</f>
        <v>3945.8</v>
      </c>
      <c r="J8" s="29" t="n">
        <f aca="false">J6-J7</f>
        <v>4465.4</v>
      </c>
      <c r="K8" s="29" t="n">
        <f aca="false">K6-K7</f>
        <v>4985</v>
      </c>
      <c r="L8" s="29" t="n">
        <f aca="false">L6-L7</f>
        <v>5504.6</v>
      </c>
      <c r="M8" s="29" t="n">
        <f aca="false">M6-M7</f>
        <v>6024.2</v>
      </c>
    </row>
    <row r="9" customFormat="false" ht="15" hidden="false" customHeight="false" outlineLevel="0" collapsed="false">
      <c r="A9" s="22" t="s">
        <v>88</v>
      </c>
      <c r="B9" s="29" t="n">
        <f aca="false">B8</f>
        <v>308.6</v>
      </c>
      <c r="C9" s="29" t="n">
        <f aca="false">B9+C8</f>
        <v>1136.8</v>
      </c>
      <c r="D9" s="29" t="n">
        <f aca="false">C9+D8</f>
        <v>2484.6</v>
      </c>
      <c r="E9" s="29" t="n">
        <f aca="false">D9+E8</f>
        <v>4352</v>
      </c>
      <c r="F9" s="29" t="n">
        <f aca="false">E9+F8</f>
        <v>6739</v>
      </c>
      <c r="G9" s="29" t="n">
        <f aca="false">F9+G8</f>
        <v>9645.6</v>
      </c>
      <c r="H9" s="29" t="n">
        <f aca="false">G9+H8</f>
        <v>13071.8</v>
      </c>
      <c r="I9" s="29" t="n">
        <f aca="false">H9+I8</f>
        <v>17017.6</v>
      </c>
      <c r="J9" s="29" t="n">
        <f aca="false">I9+J8</f>
        <v>21483</v>
      </c>
      <c r="K9" s="29" t="n">
        <f aca="false">J9+K8</f>
        <v>26468</v>
      </c>
      <c r="L9" s="29" t="n">
        <f aca="false">K9+L8</f>
        <v>31972.6</v>
      </c>
      <c r="M9" s="29" t="n">
        <f aca="false">L9+M8</f>
        <v>37996.8</v>
      </c>
    </row>
    <row r="11" customFormat="false" ht="15" hidden="false" customHeight="false" outlineLevel="0" collapsed="false">
      <c r="A11" s="24" t="s">
        <v>89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</sheetData>
  <mergeCells count="2">
    <mergeCell ref="A1:M1"/>
    <mergeCell ref="A11:M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2026-08-24T08:33:55Z</dcterms:created>
  <dc:creator>openpyxl</dc:creator>
  <dc:description/>
  <dc:language>en-US</dc:language>
  <cp:lastModifiedBy/>
  <dcterms:modified xsi:type="dcterms:W3CDTF">2026-08-24T08:33:55Z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